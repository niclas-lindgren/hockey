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niclasl/Downloads/"/>
    </mc:Choice>
  </mc:AlternateContent>
  <xr:revisionPtr revIDLastSave="0" documentId="13_ncr:1_{672A6D7A-A76B-5449-9176-C22B45849707}" xr6:coauthVersionLast="47" xr6:coauthVersionMax="47" xr10:uidLastSave="{00000000-0000-0000-0000-000000000000}"/>
  <bookViews>
    <workbookView xWindow="0" yWindow="520" windowWidth="26240" windowHeight="16440" firstSheet="1" activeTab="1" xr2:uid="{784348BC-1604-447D-9126-6798E5DC6166}"/>
  </bookViews>
  <sheets>
    <sheet name="Ark1" sheetId="1" r:id="rId1"/>
    <sheet name="Årshjul" sheetId="2" r:id="rId2"/>
  </sheets>
  <definedNames>
    <definedName name="_xlchart.v1.0" hidden="1">Årshjul!$J$4:$M$41</definedName>
    <definedName name="_xlchart.v1.1" hidden="1">Årshjul!$N$3</definedName>
    <definedName name="_xlchart.v1.2" hidden="1">Årshjul!$N$4:$N$41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13" i="2"/>
  <c r="G14" i="2"/>
  <c r="G15" i="2"/>
</calcChain>
</file>

<file path=xl/sharedStrings.xml><?xml version="1.0" encoding="utf-8"?>
<sst xmlns="http://schemas.openxmlformats.org/spreadsheetml/2006/main" count="235" uniqueCount="94">
  <si>
    <t>Antall aktiviteter</t>
  </si>
  <si>
    <t>Måned</t>
  </si>
  <si>
    <t>Dato</t>
  </si>
  <si>
    <t>Hva</t>
  </si>
  <si>
    <t>Hvem</t>
  </si>
  <si>
    <t>Desember</t>
  </si>
  <si>
    <t>Aktivitet 1</t>
  </si>
  <si>
    <t>Naja</t>
  </si>
  <si>
    <t>November</t>
  </si>
  <si>
    <t>Aktivitet 2</t>
  </si>
  <si>
    <t>Magnus</t>
  </si>
  <si>
    <t>Aktivitet 3</t>
  </si>
  <si>
    <t>Oktober</t>
  </si>
  <si>
    <t>Aktivitet 4</t>
  </si>
  <si>
    <t>Aktivitet 5</t>
  </si>
  <si>
    <t>Aktivitet 6</t>
  </si>
  <si>
    <t>September</t>
  </si>
  <si>
    <t>Aktivitet 7</t>
  </si>
  <si>
    <t>Aktivitet 8</t>
  </si>
  <si>
    <t>Aktivitet 9</t>
  </si>
  <si>
    <t>August</t>
  </si>
  <si>
    <t>Aktivitet 10</t>
  </si>
  <si>
    <t>Aktivitet 11</t>
  </si>
  <si>
    <t>Juli</t>
  </si>
  <si>
    <t>Aktivitet 12</t>
  </si>
  <si>
    <t>Juni</t>
  </si>
  <si>
    <t>Aktivitet 13</t>
  </si>
  <si>
    <t>Mai</t>
  </si>
  <si>
    <t>Aktivitet 14</t>
  </si>
  <si>
    <t>Aktivitet 15</t>
  </si>
  <si>
    <t>April</t>
  </si>
  <si>
    <t>Aktivitet 16</t>
  </si>
  <si>
    <t>Aktivitet 17</t>
  </si>
  <si>
    <t>Aktivitet 18</t>
  </si>
  <si>
    <t>Aktivitet 19</t>
  </si>
  <si>
    <t>Mars</t>
  </si>
  <si>
    <t>Aktivitet 20</t>
  </si>
  <si>
    <t>Aktivitet 21</t>
  </si>
  <si>
    <t>Aktivitet 22</t>
  </si>
  <si>
    <t>Februar</t>
  </si>
  <si>
    <t>Aktivitet 23</t>
  </si>
  <si>
    <t>Aktivitet 24</t>
  </si>
  <si>
    <t>Aktivitet 25</t>
  </si>
  <si>
    <t>Januar</t>
  </si>
  <si>
    <t>Aktivitet 26</t>
  </si>
  <si>
    <t>Aktivitet 27</t>
  </si>
  <si>
    <t>📅 Årshjul – aktiviteter</t>
  </si>
  <si>
    <t>MånedNr</t>
  </si>
  <si>
    <t>Aktivitet</t>
  </si>
  <si>
    <t>Verdi</t>
  </si>
  <si>
    <t>Antall</t>
  </si>
  <si>
    <t>Sted</t>
  </si>
  <si>
    <t>46037 – Aktivitet 27 (Naja)</t>
  </si>
  <si>
    <t>RS U15</t>
  </si>
  <si>
    <t>46053 – Aktivitet 26 (Magnus)</t>
  </si>
  <si>
    <t>RS JU16</t>
  </si>
  <si>
    <t>46063 – Aktivitet 25 (Naja)</t>
  </si>
  <si>
    <t>S.Utvikling JU14</t>
  </si>
  <si>
    <t>46073 – Aktivitet 24 (Magnus)</t>
  </si>
  <si>
    <t>S.Utvikling U14</t>
  </si>
  <si>
    <t>46081 – Aktivitet 23 (Naja)</t>
  </si>
  <si>
    <t>46091 – Aktivitet 22 (Magnus)</t>
  </si>
  <si>
    <t>S.Utvikling U13</t>
  </si>
  <si>
    <t>46101 – Aktivitet 21 (Naja)</t>
  </si>
  <si>
    <t>46112 – Aktivitet 20 (Magnus)</t>
  </si>
  <si>
    <t>Sandefjord</t>
  </si>
  <si>
    <t>46122 – Aktivitet 19 (Naja)</t>
  </si>
  <si>
    <t>Ringerike</t>
  </si>
  <si>
    <t>46127 – Aktivitet 18 (Magnus)</t>
  </si>
  <si>
    <t>46132 – Aktivitet 17 (Naja)</t>
  </si>
  <si>
    <t>Sadefjord</t>
  </si>
  <si>
    <t>46142 – Aktivitet 16 (Magnus)</t>
  </si>
  <si>
    <t>Tønsberg</t>
  </si>
  <si>
    <t>46157 – Aktivitet 15 (Naja)</t>
  </si>
  <si>
    <t>46173 – Aktivitet 14 (Magnus)</t>
  </si>
  <si>
    <t>IA</t>
  </si>
  <si>
    <t>46188 – Aktivitet 13 (Naja)</t>
  </si>
  <si>
    <t>46218 – Aktivitet 12 (Magnus)</t>
  </si>
  <si>
    <t>46249 – Aktivitet 11 (Naja)</t>
  </si>
  <si>
    <t>46265 – Aktivitet 10 (Magnus)</t>
  </si>
  <si>
    <t>46275 – Aktivitet 9 (Naja)</t>
  </si>
  <si>
    <t>Regionsturnering U15</t>
  </si>
  <si>
    <t>46285 – Aktivitet 8 (Magnus)</t>
  </si>
  <si>
    <t>Mesterskap JU14</t>
  </si>
  <si>
    <t>46295 – Aktivitet 7 (Naja)</t>
  </si>
  <si>
    <t>Mesterskap U14</t>
  </si>
  <si>
    <t>Bærum Ishall</t>
  </si>
  <si>
    <t>46305 – Aktivitet 6 (Magnus)</t>
  </si>
  <si>
    <t>RegionsturneringJU16</t>
  </si>
  <si>
    <t>46315 – Aktivitet 5 (Naja)</t>
  </si>
  <si>
    <t>46326 – Aktivitet 4 (Magnus)</t>
  </si>
  <si>
    <t>46341 – Aktivitet 3 (Naja)</t>
  </si>
  <si>
    <t>46356 – Aktivitet 2 (Magnus)</t>
  </si>
  <si>
    <t>46371 – Aktivitet 1 (Naja)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</si>
</sst>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;@"/>
  </numFmts>
  <fonts count="5" x14ac:knownFonts="1">
    <font>
      <sz val="11"/>
      <color theme="1"/>
      <name val="Aptos Narrow"/>
      <family val="2"/>
      <scheme val="minor"/>
    </font>
    <font>
      <b/>
      <sz val="11"/>
      <color rgb="FF1F2D3D"/>
      <name val="Aptos Narrow"/>
      <family val="2"/>
      <scheme val="minor"/>
    </font>
    <font>
      <b/>
      <sz val="16"/>
      <color rgb="FF1F2D3D"/>
      <name val="Aptos Narrow"/>
      <family val="2"/>
      <scheme val="minor"/>
    </font>
    <font>
      <sz val="11"/>
      <color rgb="FF1F2D3D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E7EEF8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rgb="FF1F4E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4" fontId="0" fillId="2" borderId="1" xfId="0" applyNumberFormat="1" applyFill="1" applyBorder="1"/>
    <xf numFmtId="0" fontId="0" fillId="2" borderId="1" xfId="0" applyFill="1" applyBorder="1"/>
    <xf numFmtId="0" fontId="1" fillId="3" borderId="2" xfId="0" applyFont="1" applyFill="1" applyBorder="1"/>
    <xf numFmtId="1" fontId="0" fillId="0" borderId="0" xfId="0" applyNumberFormat="1"/>
    <xf numFmtId="0" fontId="2" fillId="4" borderId="0" xfId="0" applyFont="1" applyFill="1"/>
    <xf numFmtId="0" fontId="3" fillId="4" borderId="0" xfId="0" applyFont="1" applyFill="1"/>
    <xf numFmtId="0" fontId="4" fillId="5" borderId="0" xfId="0" applyFont="1" applyFill="1"/>
    <xf numFmtId="164" fontId="0" fillId="0" borderId="0" xfId="0" applyNumberFormat="1"/>
  </cellXfs>
  <cellStyles count="1">
    <cellStyle name="Normal" xfId="0" builtinId="0"/>
  </cellStyles>
  <dxfs count="3">
    <dxf>
      <numFmt numFmtId="1" formatCode="0"/>
    </dxf>
    <dxf>
      <numFmt numFmtId="164" formatCode="d/m/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F4E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Årshjul – Måned → Dato → Aktivitet → Navn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Årshjul – Måned → Dato → Aktivitet → Navn</a:t>
          </a:r>
        </a:p>
      </cx:txPr>
    </cx:title>
    <cx:plotArea>
      <cx:plotAreaRegion>
        <cx:series layoutId="sunburst" uniqueId="{C9A0061A-9E4D-40C2-A766-37F819109A29}">
          <cx:tx>
            <cx:txData>
              <cx:f>_xlchart.v1.1</cx:f>
              <cx:v>Verdi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1"/>
          </cx:dataLabels>
          <cx:dataId val="0"/>
        </cx:series>
      </cx:plotAreaRegion>
    </cx:plotArea>
    <cx:legend pos="r" align="ctr" overlay="0">
      <cx:spPr>
        <a:solidFill>
          <a:srgbClr val="FFFFFF"/>
        </a:solidFill>
      </cx:spPr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679451</xdr:colOff>
      <xdr:row>1</xdr:row>
      <xdr:rowOff>12700</xdr:rowOff>
    </xdr:from>
    <xdr:to>
      <xdr:col>29</xdr:col>
      <xdr:colOff>409575</xdr:colOff>
      <xdr:row>33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 1">
              <a:extLst>
                <a:ext uri="{FF2B5EF4-FFF2-40B4-BE49-F238E27FC236}">
                  <a16:creationId xmlns:a16="http://schemas.microsoft.com/office/drawing/2014/main" id="{7D31ACC5-1F11-F4D4-1A4A-4FDA587889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47651" y="292100"/>
              <a:ext cx="12874624" cy="6235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82A939-FBD9-4A49-9061-AD157C24D6FD}" name="ÅrshjulData" displayName="ÅrshjulData" ref="A3:D30" totalsRowShown="0">
  <autoFilter ref="A3:D30" xr:uid="{6A82A939-FBD9-4A49-9061-AD157C24D6FD}"/>
  <tableColumns count="4">
    <tableColumn id="1" xr3:uid="{BF2E8CB3-CE92-4EE5-8E16-B07C3558BBB4}" name="MånedNr"/>
    <tableColumn id="2" xr3:uid="{4973D228-D038-4520-9402-21F7279F6713}" name="Måned"/>
    <tableColumn id="3" xr3:uid="{3B49D875-95CD-4C5D-9623-5F6F524D860B}" name="Aktivitet"/>
    <tableColumn id="4" xr3:uid="{2304FE51-E220-49C7-B449-F699DA757844}" name="Verdi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4F0E9A-FCB6-40EF-874C-B9F13824F68F}" name="SunburstData" displayName="SunburstData" ref="J3:N41" totalsRowShown="0" headerRowDxfId="2">
  <autoFilter ref="J3:N41" xr:uid="{A84F0E9A-FCB6-40EF-874C-B9F13824F68F}"/>
  <sortState xmlns:xlrd2="http://schemas.microsoft.com/office/spreadsheetml/2017/richdata2" ref="J4:N41">
    <sortCondition descending="1" ref="K3:K41"/>
  </sortState>
  <tableColumns count="5">
    <tableColumn id="1" xr3:uid="{5557DA4E-CF5C-4E41-AB07-6D693A889B43}" name="Måned"/>
    <tableColumn id="2" xr3:uid="{1F4FB905-DFCE-4EB8-96D1-6D5E346585C5}" name="Dato" dataDxfId="1"/>
    <tableColumn id="3" xr3:uid="{8F83E942-D917-4888-94F3-DAB8D04A5A53}" name="Aktivitet"/>
    <tableColumn id="4" xr3:uid="{AEB94C9C-39B2-4BAA-B1E9-A16DE1D8C5A1}" name="Sted"/>
    <tableColumn id="5" xr3:uid="{939CAA75-4F93-4B2F-8216-B6F3EA205597}" name="Verd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BE9EE7C-E41D-6C44-AE42-98DC36BE8E4A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d76187fb-57ab-4f1c-be68-89011a9555d2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9DAC1-2435-45A8-877C-8697E4CDC1B7}">
  <dimension ref="A2:D30"/>
  <sheetViews>
    <sheetView workbookViewId="0">
      <selection activeCell="F8" sqref="F8"/>
    </sheetView>
  </sheetViews>
  <sheetFormatPr baseColWidth="10" defaultColWidth="11.5" defaultRowHeight="15" x14ac:dyDescent="0.2"/>
  <sheetData>
    <row r="2" spans="1:4" x14ac:dyDescent="0.2">
      <c r="A2" t="s">
        <v>0</v>
      </c>
    </row>
    <row r="3" spans="1:4" x14ac:dyDescent="0.2">
      <c r="A3" t="s">
        <v>1</v>
      </c>
      <c r="B3" t="s">
        <v>2</v>
      </c>
      <c r="C3" t="s">
        <v>3</v>
      </c>
      <c r="D3" t="s">
        <v>4</v>
      </c>
    </row>
    <row r="4" spans="1:4" x14ac:dyDescent="0.2">
      <c r="A4" s="1" t="s">
        <v>5</v>
      </c>
      <c r="B4" s="2">
        <v>46371</v>
      </c>
      <c r="C4" s="3" t="s">
        <v>6</v>
      </c>
      <c r="D4" s="3" t="s">
        <v>7</v>
      </c>
    </row>
    <row r="5" spans="1:4" x14ac:dyDescent="0.2">
      <c r="A5" s="1" t="s">
        <v>8</v>
      </c>
      <c r="B5" s="2">
        <v>46356</v>
      </c>
      <c r="C5" s="3" t="s">
        <v>9</v>
      </c>
      <c r="D5" s="3" t="s">
        <v>10</v>
      </c>
    </row>
    <row r="6" spans="1:4" x14ac:dyDescent="0.2">
      <c r="A6" s="1" t="s">
        <v>8</v>
      </c>
      <c r="B6" s="2">
        <v>46341</v>
      </c>
      <c r="C6" s="3" t="s">
        <v>11</v>
      </c>
      <c r="D6" s="3" t="s">
        <v>7</v>
      </c>
    </row>
    <row r="7" spans="1:4" x14ac:dyDescent="0.2">
      <c r="A7" s="1" t="s">
        <v>12</v>
      </c>
      <c r="B7" s="2">
        <v>46326</v>
      </c>
      <c r="C7" s="3" t="s">
        <v>13</v>
      </c>
      <c r="D7" s="3" t="s">
        <v>10</v>
      </c>
    </row>
    <row r="8" spans="1:4" x14ac:dyDescent="0.2">
      <c r="A8" s="1" t="s">
        <v>12</v>
      </c>
      <c r="B8" s="2">
        <v>46315</v>
      </c>
      <c r="C8" s="3" t="s">
        <v>14</v>
      </c>
      <c r="D8" s="3" t="s">
        <v>7</v>
      </c>
    </row>
    <row r="9" spans="1:4" x14ac:dyDescent="0.2">
      <c r="A9" s="1" t="s">
        <v>12</v>
      </c>
      <c r="B9" s="2">
        <v>46305</v>
      </c>
      <c r="C9" s="3" t="s">
        <v>15</v>
      </c>
      <c r="D9" s="3" t="s">
        <v>10</v>
      </c>
    </row>
    <row r="10" spans="1:4" x14ac:dyDescent="0.2">
      <c r="A10" s="1" t="s">
        <v>16</v>
      </c>
      <c r="B10" s="2">
        <v>46295</v>
      </c>
      <c r="C10" s="3" t="s">
        <v>17</v>
      </c>
      <c r="D10" s="3" t="s">
        <v>7</v>
      </c>
    </row>
    <row r="11" spans="1:4" x14ac:dyDescent="0.2">
      <c r="A11" s="1" t="s">
        <v>16</v>
      </c>
      <c r="B11" s="2">
        <v>46285</v>
      </c>
      <c r="C11" s="3" t="s">
        <v>18</v>
      </c>
      <c r="D11" s="3" t="s">
        <v>10</v>
      </c>
    </row>
    <row r="12" spans="1:4" x14ac:dyDescent="0.2">
      <c r="A12" s="1" t="s">
        <v>16</v>
      </c>
      <c r="B12" s="2">
        <v>46275</v>
      </c>
      <c r="C12" s="3" t="s">
        <v>19</v>
      </c>
      <c r="D12" s="3" t="s">
        <v>7</v>
      </c>
    </row>
    <row r="13" spans="1:4" x14ac:dyDescent="0.2">
      <c r="A13" s="1" t="s">
        <v>20</v>
      </c>
      <c r="B13" s="2">
        <v>46265</v>
      </c>
      <c r="C13" s="3" t="s">
        <v>21</v>
      </c>
      <c r="D13" s="3" t="s">
        <v>10</v>
      </c>
    </row>
    <row r="14" spans="1:4" x14ac:dyDescent="0.2">
      <c r="A14" s="1" t="s">
        <v>20</v>
      </c>
      <c r="B14" s="2">
        <v>46249</v>
      </c>
      <c r="C14" s="3" t="s">
        <v>22</v>
      </c>
      <c r="D14" s="3" t="s">
        <v>7</v>
      </c>
    </row>
    <row r="15" spans="1:4" x14ac:dyDescent="0.2">
      <c r="A15" s="1" t="s">
        <v>23</v>
      </c>
      <c r="B15" s="2">
        <v>46218</v>
      </c>
      <c r="C15" s="3" t="s">
        <v>24</v>
      </c>
      <c r="D15" s="3" t="s">
        <v>10</v>
      </c>
    </row>
    <row r="16" spans="1:4" x14ac:dyDescent="0.2">
      <c r="A16" s="1" t="s">
        <v>25</v>
      </c>
      <c r="B16" s="2">
        <v>46188</v>
      </c>
      <c r="C16" s="3" t="s">
        <v>26</v>
      </c>
      <c r="D16" s="3" t="s">
        <v>7</v>
      </c>
    </row>
    <row r="17" spans="1:4" x14ac:dyDescent="0.2">
      <c r="A17" s="1" t="s">
        <v>27</v>
      </c>
      <c r="B17" s="2">
        <v>46173</v>
      </c>
      <c r="C17" s="3" t="s">
        <v>28</v>
      </c>
      <c r="D17" s="3" t="s">
        <v>10</v>
      </c>
    </row>
    <row r="18" spans="1:4" x14ac:dyDescent="0.2">
      <c r="A18" s="1" t="s">
        <v>27</v>
      </c>
      <c r="B18" s="2">
        <v>46157</v>
      </c>
      <c r="C18" s="3" t="s">
        <v>29</v>
      </c>
      <c r="D18" s="3" t="s">
        <v>7</v>
      </c>
    </row>
    <row r="19" spans="1:4" x14ac:dyDescent="0.2">
      <c r="A19" s="1" t="s">
        <v>30</v>
      </c>
      <c r="B19" s="2">
        <v>46142</v>
      </c>
      <c r="C19" s="3" t="s">
        <v>31</v>
      </c>
      <c r="D19" s="3" t="s">
        <v>10</v>
      </c>
    </row>
    <row r="20" spans="1:4" x14ac:dyDescent="0.2">
      <c r="A20" s="1" t="s">
        <v>30</v>
      </c>
      <c r="B20" s="2">
        <v>46132</v>
      </c>
      <c r="C20" s="3" t="s">
        <v>32</v>
      </c>
      <c r="D20" s="3" t="s">
        <v>7</v>
      </c>
    </row>
    <row r="21" spans="1:4" x14ac:dyDescent="0.2">
      <c r="A21" s="1" t="s">
        <v>30</v>
      </c>
      <c r="B21" s="2">
        <v>46127</v>
      </c>
      <c r="C21" s="3" t="s">
        <v>33</v>
      </c>
      <c r="D21" s="3" t="s">
        <v>10</v>
      </c>
    </row>
    <row r="22" spans="1:4" x14ac:dyDescent="0.2">
      <c r="A22" s="1" t="s">
        <v>30</v>
      </c>
      <c r="B22" s="2">
        <v>46122</v>
      </c>
      <c r="C22" s="3" t="s">
        <v>34</v>
      </c>
      <c r="D22" s="3" t="s">
        <v>7</v>
      </c>
    </row>
    <row r="23" spans="1:4" x14ac:dyDescent="0.2">
      <c r="A23" s="1" t="s">
        <v>35</v>
      </c>
      <c r="B23" s="2">
        <v>46112</v>
      </c>
      <c r="C23" s="3" t="s">
        <v>36</v>
      </c>
      <c r="D23" s="3" t="s">
        <v>10</v>
      </c>
    </row>
    <row r="24" spans="1:4" x14ac:dyDescent="0.2">
      <c r="A24" s="1" t="s">
        <v>35</v>
      </c>
      <c r="B24" s="2">
        <v>46101</v>
      </c>
      <c r="C24" s="3" t="s">
        <v>37</v>
      </c>
      <c r="D24" s="3" t="s">
        <v>7</v>
      </c>
    </row>
    <row r="25" spans="1:4" x14ac:dyDescent="0.2">
      <c r="A25" s="1" t="s">
        <v>35</v>
      </c>
      <c r="B25" s="2">
        <v>46091</v>
      </c>
      <c r="C25" s="3" t="s">
        <v>38</v>
      </c>
      <c r="D25" s="3" t="s">
        <v>10</v>
      </c>
    </row>
    <row r="26" spans="1:4" x14ac:dyDescent="0.2">
      <c r="A26" s="1" t="s">
        <v>39</v>
      </c>
      <c r="B26" s="2">
        <v>46081</v>
      </c>
      <c r="C26" s="3" t="s">
        <v>40</v>
      </c>
      <c r="D26" s="3" t="s">
        <v>7</v>
      </c>
    </row>
    <row r="27" spans="1:4" x14ac:dyDescent="0.2">
      <c r="A27" s="1" t="s">
        <v>39</v>
      </c>
      <c r="B27" s="2">
        <v>46073</v>
      </c>
      <c r="C27" s="3" t="s">
        <v>41</v>
      </c>
      <c r="D27" s="3" t="s">
        <v>10</v>
      </c>
    </row>
    <row r="28" spans="1:4" x14ac:dyDescent="0.2">
      <c r="A28" s="1" t="s">
        <v>39</v>
      </c>
      <c r="B28" s="2">
        <v>46063</v>
      </c>
      <c r="C28" s="3" t="s">
        <v>42</v>
      </c>
      <c r="D28" s="3" t="s">
        <v>7</v>
      </c>
    </row>
    <row r="29" spans="1:4" x14ac:dyDescent="0.2">
      <c r="A29" s="1" t="s">
        <v>43</v>
      </c>
      <c r="B29" s="2">
        <v>46053</v>
      </c>
      <c r="C29" s="3" t="s">
        <v>44</v>
      </c>
      <c r="D29" s="3" t="s">
        <v>10</v>
      </c>
    </row>
    <row r="30" spans="1:4" x14ac:dyDescent="0.2">
      <c r="A30" s="1" t="s">
        <v>43</v>
      </c>
      <c r="B30" s="2">
        <v>46037</v>
      </c>
      <c r="C30" s="3" t="s">
        <v>45</v>
      </c>
      <c r="D30" s="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61283-F91B-45F4-8D2D-0D7683221028}">
  <dimension ref="A1:N41"/>
  <sheetViews>
    <sheetView tabSelected="1" topLeftCell="J1" zoomScale="77" workbookViewId="0">
      <selection activeCell="L26" sqref="L26"/>
    </sheetView>
  </sheetViews>
  <sheetFormatPr baseColWidth="10" defaultColWidth="11.5" defaultRowHeight="15" x14ac:dyDescent="0.2"/>
  <cols>
    <col min="1" max="1" width="0.5" customWidth="1"/>
    <col min="2" max="2" width="10.33203125" bestFit="1" customWidth="1"/>
    <col min="3" max="3" width="26.1640625" bestFit="1" customWidth="1"/>
    <col min="4" max="4" width="16" customWidth="1"/>
    <col min="6" max="6" width="10.33203125" bestFit="1" customWidth="1"/>
    <col min="7" max="7" width="6.1640625" bestFit="1" customWidth="1"/>
    <col min="10" max="10" width="10.33203125" bestFit="1" customWidth="1"/>
    <col min="11" max="11" width="10.1640625" bestFit="1" customWidth="1"/>
    <col min="12" max="12" width="20.5" bestFit="1" customWidth="1"/>
    <col min="13" max="14" width="8" bestFit="1" customWidth="1"/>
  </cols>
  <sheetData>
    <row r="1" spans="1:14" ht="22" x14ac:dyDescent="0.3">
      <c r="A1" s="6" t="s">
        <v>46</v>
      </c>
      <c r="B1" s="7"/>
      <c r="C1" s="7"/>
      <c r="D1" s="7"/>
      <c r="E1" s="7"/>
      <c r="F1" s="7"/>
      <c r="G1" s="7"/>
      <c r="H1" s="7"/>
    </row>
    <row r="3" spans="1:14" x14ac:dyDescent="0.2">
      <c r="A3" t="s">
        <v>47</v>
      </c>
      <c r="B3" t="s">
        <v>1</v>
      </c>
      <c r="C3" t="s">
        <v>48</v>
      </c>
      <c r="D3" t="s">
        <v>49</v>
      </c>
      <c r="F3" s="4" t="s">
        <v>1</v>
      </c>
      <c r="G3" s="4" t="s">
        <v>50</v>
      </c>
      <c r="J3" s="8" t="s">
        <v>1</v>
      </c>
      <c r="K3" s="8" t="s">
        <v>2</v>
      </c>
      <c r="L3" s="8" t="s">
        <v>48</v>
      </c>
      <c r="M3" s="8" t="s">
        <v>51</v>
      </c>
      <c r="N3" s="8" t="s">
        <v>49</v>
      </c>
    </row>
    <row r="4" spans="1:14" x14ac:dyDescent="0.2">
      <c r="A4">
        <v>1</v>
      </c>
      <c r="B4" t="s">
        <v>43</v>
      </c>
      <c r="C4" t="s">
        <v>52</v>
      </c>
      <c r="D4">
        <v>1</v>
      </c>
      <c r="F4" t="s">
        <v>43</v>
      </c>
      <c r="G4" s="5">
        <f>COUNTIF(ÅrshjulData[Måned],F4)</f>
        <v>2</v>
      </c>
      <c r="J4" t="s">
        <v>5</v>
      </c>
      <c r="K4" s="9">
        <v>46371</v>
      </c>
      <c r="L4" t="s">
        <v>53</v>
      </c>
      <c r="N4" s="5">
        <v>1</v>
      </c>
    </row>
    <row r="5" spans="1:14" x14ac:dyDescent="0.2">
      <c r="A5">
        <v>1</v>
      </c>
      <c r="B5" t="s">
        <v>43</v>
      </c>
      <c r="C5" t="s">
        <v>54</v>
      </c>
      <c r="D5">
        <v>1</v>
      </c>
      <c r="F5" t="s">
        <v>39</v>
      </c>
      <c r="G5" s="5">
        <f>COUNTIF(ÅrshjulData[Måned],F5)</f>
        <v>3</v>
      </c>
      <c r="J5" t="s">
        <v>5</v>
      </c>
      <c r="K5" s="9">
        <v>46366</v>
      </c>
      <c r="L5" t="s">
        <v>55</v>
      </c>
      <c r="N5" s="5">
        <v>1</v>
      </c>
    </row>
    <row r="6" spans="1:14" x14ac:dyDescent="0.2">
      <c r="A6">
        <v>2</v>
      </c>
      <c r="B6" t="s">
        <v>39</v>
      </c>
      <c r="C6" t="s">
        <v>56</v>
      </c>
      <c r="D6">
        <v>1</v>
      </c>
      <c r="F6" t="s">
        <v>35</v>
      </c>
      <c r="G6" s="5">
        <f>COUNTIF(ÅrshjulData[Måned],F6)</f>
        <v>3</v>
      </c>
      <c r="J6" t="s">
        <v>8</v>
      </c>
      <c r="K6" s="9">
        <v>46356</v>
      </c>
      <c r="L6" t="s">
        <v>57</v>
      </c>
      <c r="N6" s="5">
        <v>1</v>
      </c>
    </row>
    <row r="7" spans="1:14" x14ac:dyDescent="0.2">
      <c r="A7">
        <v>2</v>
      </c>
      <c r="B7" t="s">
        <v>39</v>
      </c>
      <c r="C7" t="s">
        <v>58</v>
      </c>
      <c r="D7">
        <v>1</v>
      </c>
      <c r="F7" t="s">
        <v>30</v>
      </c>
      <c r="G7" s="5">
        <f>COUNTIF(ÅrshjulData[Måned],F7)</f>
        <v>4</v>
      </c>
      <c r="J7" t="s">
        <v>8</v>
      </c>
      <c r="K7" s="9">
        <v>46341</v>
      </c>
      <c r="L7" t="s">
        <v>59</v>
      </c>
      <c r="N7" s="5">
        <v>1</v>
      </c>
    </row>
    <row r="8" spans="1:14" x14ac:dyDescent="0.2">
      <c r="A8">
        <v>2</v>
      </c>
      <c r="B8" t="s">
        <v>39</v>
      </c>
      <c r="C8" t="s">
        <v>60</v>
      </c>
      <c r="D8">
        <v>1</v>
      </c>
      <c r="F8" t="s">
        <v>27</v>
      </c>
      <c r="G8" s="5">
        <f>COUNTIF(ÅrshjulData[Måned],F8)</f>
        <v>2</v>
      </c>
      <c r="J8" t="s">
        <v>12</v>
      </c>
      <c r="K8" s="9">
        <v>46326</v>
      </c>
      <c r="L8" t="s">
        <v>59</v>
      </c>
      <c r="N8" s="5">
        <v>1</v>
      </c>
    </row>
    <row r="9" spans="1:14" x14ac:dyDescent="0.2">
      <c r="A9">
        <v>3</v>
      </c>
      <c r="B9" t="s">
        <v>35</v>
      </c>
      <c r="C9" t="s">
        <v>61</v>
      </c>
      <c r="D9">
        <v>1</v>
      </c>
      <c r="F9" t="s">
        <v>25</v>
      </c>
      <c r="G9" s="5">
        <f>COUNTIF(ÅrshjulData[Måned],F9)</f>
        <v>1</v>
      </c>
      <c r="J9" t="s">
        <v>12</v>
      </c>
      <c r="K9" s="9">
        <v>46315</v>
      </c>
      <c r="L9" t="s">
        <v>62</v>
      </c>
      <c r="N9" s="5">
        <v>1</v>
      </c>
    </row>
    <row r="10" spans="1:14" x14ac:dyDescent="0.2">
      <c r="A10">
        <v>3</v>
      </c>
      <c r="B10" t="s">
        <v>35</v>
      </c>
      <c r="C10" t="s">
        <v>63</v>
      </c>
      <c r="D10">
        <v>1</v>
      </c>
      <c r="F10" t="s">
        <v>23</v>
      </c>
      <c r="G10" s="5">
        <f>COUNTIF(ÅrshjulData[Måned],F10)</f>
        <v>1</v>
      </c>
      <c r="J10" t="s">
        <v>12</v>
      </c>
      <c r="K10" s="9">
        <v>46305</v>
      </c>
      <c r="L10" t="s">
        <v>53</v>
      </c>
      <c r="N10" s="5">
        <v>1</v>
      </c>
    </row>
    <row r="11" spans="1:14" x14ac:dyDescent="0.2">
      <c r="A11">
        <v>3</v>
      </c>
      <c r="B11" t="s">
        <v>35</v>
      </c>
      <c r="C11" t="s">
        <v>64</v>
      </c>
      <c r="D11">
        <v>1</v>
      </c>
      <c r="F11" t="s">
        <v>20</v>
      </c>
      <c r="G11" s="5">
        <f>COUNTIF(ÅrshjulData[Måned],F11)</f>
        <v>2</v>
      </c>
      <c r="J11" t="s">
        <v>16</v>
      </c>
      <c r="K11" s="9">
        <v>46295</v>
      </c>
      <c r="L11" t="s">
        <v>55</v>
      </c>
      <c r="M11" t="s">
        <v>65</v>
      </c>
      <c r="N11" s="5">
        <v>1</v>
      </c>
    </row>
    <row r="12" spans="1:14" x14ac:dyDescent="0.2">
      <c r="A12">
        <v>4</v>
      </c>
      <c r="B12" t="s">
        <v>30</v>
      </c>
      <c r="C12" t="s">
        <v>66</v>
      </c>
      <c r="D12">
        <v>1</v>
      </c>
      <c r="F12" t="s">
        <v>16</v>
      </c>
      <c r="G12" s="5">
        <f>COUNTIF(ÅrshjulData[Måned],F12)</f>
        <v>3</v>
      </c>
      <c r="J12" t="s">
        <v>16</v>
      </c>
      <c r="K12" s="9">
        <v>46271</v>
      </c>
      <c r="L12" t="s">
        <v>57</v>
      </c>
      <c r="M12" t="s">
        <v>67</v>
      </c>
      <c r="N12" s="5">
        <v>1</v>
      </c>
    </row>
    <row r="13" spans="1:14" x14ac:dyDescent="0.2">
      <c r="A13">
        <v>4</v>
      </c>
      <c r="B13" t="s">
        <v>30</v>
      </c>
      <c r="C13" t="s">
        <v>68</v>
      </c>
      <c r="D13">
        <v>1</v>
      </c>
      <c r="F13" t="s">
        <v>12</v>
      </c>
      <c r="G13" s="5">
        <f>COUNTIF(ÅrshjulData[Måned],F13)</f>
        <v>3</v>
      </c>
      <c r="J13" t="s">
        <v>16</v>
      </c>
      <c r="K13" s="9">
        <v>46271</v>
      </c>
      <c r="L13" t="s">
        <v>62</v>
      </c>
      <c r="M13" t="s">
        <v>67</v>
      </c>
      <c r="N13" s="5">
        <v>1</v>
      </c>
    </row>
    <row r="14" spans="1:14" x14ac:dyDescent="0.2">
      <c r="A14">
        <v>4</v>
      </c>
      <c r="B14" t="s">
        <v>30</v>
      </c>
      <c r="C14" t="s">
        <v>69</v>
      </c>
      <c r="D14">
        <v>1</v>
      </c>
      <c r="F14" t="s">
        <v>8</v>
      </c>
      <c r="G14" s="5">
        <f>COUNTIF(ÅrshjulData[Måned],F14)</f>
        <v>2</v>
      </c>
      <c r="J14" t="s">
        <v>20</v>
      </c>
      <c r="K14" s="9">
        <v>46256</v>
      </c>
      <c r="L14" t="s">
        <v>53</v>
      </c>
      <c r="M14" t="s">
        <v>70</v>
      </c>
      <c r="N14" s="5">
        <v>1</v>
      </c>
    </row>
    <row r="15" spans="1:14" x14ac:dyDescent="0.2">
      <c r="A15">
        <v>4</v>
      </c>
      <c r="B15" t="s">
        <v>30</v>
      </c>
      <c r="C15" t="s">
        <v>71</v>
      </c>
      <c r="D15">
        <v>1</v>
      </c>
      <c r="F15" t="s">
        <v>5</v>
      </c>
      <c r="G15" s="5">
        <f>COUNTIF(ÅrshjulData[Måned],F15)</f>
        <v>1</v>
      </c>
      <c r="J15" t="s">
        <v>20</v>
      </c>
      <c r="K15" s="9">
        <v>46249</v>
      </c>
      <c r="L15" t="s">
        <v>55</v>
      </c>
      <c r="M15" t="s">
        <v>72</v>
      </c>
      <c r="N15" s="5">
        <v>1</v>
      </c>
    </row>
    <row r="16" spans="1:14" x14ac:dyDescent="0.2">
      <c r="A16">
        <v>5</v>
      </c>
      <c r="B16" t="s">
        <v>27</v>
      </c>
      <c r="C16" t="s">
        <v>73</v>
      </c>
      <c r="D16">
        <v>1</v>
      </c>
      <c r="J16" t="s">
        <v>20</v>
      </c>
      <c r="K16" s="9">
        <v>46249</v>
      </c>
      <c r="L16" t="s">
        <v>59</v>
      </c>
      <c r="M16" t="s">
        <v>72</v>
      </c>
      <c r="N16" s="5">
        <v>1</v>
      </c>
    </row>
    <row r="17" spans="1:14" x14ac:dyDescent="0.2">
      <c r="A17">
        <v>5</v>
      </c>
      <c r="B17" t="s">
        <v>27</v>
      </c>
      <c r="C17" t="s">
        <v>74</v>
      </c>
      <c r="D17">
        <v>1</v>
      </c>
      <c r="J17" t="s">
        <v>23</v>
      </c>
      <c r="K17" s="9">
        <v>46218</v>
      </c>
      <c r="L17" t="s">
        <v>75</v>
      </c>
      <c r="N17" s="5">
        <v>1</v>
      </c>
    </row>
    <row r="18" spans="1:14" x14ac:dyDescent="0.2">
      <c r="A18">
        <v>6</v>
      </c>
      <c r="B18" t="s">
        <v>25</v>
      </c>
      <c r="C18" t="s">
        <v>76</v>
      </c>
      <c r="D18">
        <v>1</v>
      </c>
      <c r="J18" t="s">
        <v>25</v>
      </c>
      <c r="K18" s="9">
        <v>46188</v>
      </c>
      <c r="L18" t="s">
        <v>75</v>
      </c>
      <c r="N18" s="5">
        <v>1</v>
      </c>
    </row>
    <row r="19" spans="1:14" x14ac:dyDescent="0.2">
      <c r="A19">
        <v>7</v>
      </c>
      <c r="B19" t="s">
        <v>23</v>
      </c>
      <c r="C19" t="s">
        <v>77</v>
      </c>
      <c r="D19">
        <v>1</v>
      </c>
      <c r="J19" t="s">
        <v>27</v>
      </c>
      <c r="K19" s="9">
        <v>46173</v>
      </c>
      <c r="L19" t="s">
        <v>62</v>
      </c>
      <c r="N19" s="5">
        <v>1</v>
      </c>
    </row>
    <row r="20" spans="1:14" x14ac:dyDescent="0.2">
      <c r="A20">
        <v>8</v>
      </c>
      <c r="B20" t="s">
        <v>20</v>
      </c>
      <c r="C20" t="s">
        <v>78</v>
      </c>
      <c r="D20">
        <v>1</v>
      </c>
      <c r="J20" t="s">
        <v>27</v>
      </c>
      <c r="K20" s="9">
        <v>46157</v>
      </c>
      <c r="L20" t="s">
        <v>57</v>
      </c>
      <c r="N20" s="5">
        <v>1</v>
      </c>
    </row>
    <row r="21" spans="1:14" x14ac:dyDescent="0.2">
      <c r="A21">
        <v>8</v>
      </c>
      <c r="B21" t="s">
        <v>20</v>
      </c>
      <c r="C21" t="s">
        <v>79</v>
      </c>
      <c r="D21">
        <v>1</v>
      </c>
      <c r="J21" t="s">
        <v>27</v>
      </c>
      <c r="K21" s="9">
        <v>46151</v>
      </c>
      <c r="L21" t="s">
        <v>59</v>
      </c>
      <c r="N21" s="5">
        <v>1</v>
      </c>
    </row>
    <row r="22" spans="1:14" x14ac:dyDescent="0.2">
      <c r="A22">
        <v>9</v>
      </c>
      <c r="B22" t="s">
        <v>16</v>
      </c>
      <c r="C22" t="s">
        <v>80</v>
      </c>
      <c r="D22">
        <v>1</v>
      </c>
      <c r="J22" t="s">
        <v>30</v>
      </c>
      <c r="K22" s="9">
        <v>46136</v>
      </c>
      <c r="L22" t="s">
        <v>81</v>
      </c>
      <c r="N22" s="5">
        <v>1</v>
      </c>
    </row>
    <row r="23" spans="1:14" x14ac:dyDescent="0.2">
      <c r="A23">
        <v>9</v>
      </c>
      <c r="B23" t="s">
        <v>16</v>
      </c>
      <c r="C23" t="s">
        <v>82</v>
      </c>
      <c r="D23">
        <v>1</v>
      </c>
      <c r="J23" t="s">
        <v>30</v>
      </c>
      <c r="K23" s="9">
        <v>46130</v>
      </c>
      <c r="L23" t="s">
        <v>83</v>
      </c>
      <c r="N23" s="5">
        <v>1</v>
      </c>
    </row>
    <row r="24" spans="1:14" x14ac:dyDescent="0.2">
      <c r="A24">
        <v>9</v>
      </c>
      <c r="B24" t="s">
        <v>16</v>
      </c>
      <c r="C24" t="s">
        <v>84</v>
      </c>
      <c r="D24">
        <v>1</v>
      </c>
      <c r="J24" t="s">
        <v>30</v>
      </c>
      <c r="K24" s="9">
        <v>46129</v>
      </c>
      <c r="L24" t="s">
        <v>85</v>
      </c>
      <c r="M24" t="s">
        <v>86</v>
      </c>
      <c r="N24" s="5">
        <v>1</v>
      </c>
    </row>
    <row r="25" spans="1:14" x14ac:dyDescent="0.2">
      <c r="A25">
        <v>10</v>
      </c>
      <c r="B25" t="s">
        <v>12</v>
      </c>
      <c r="C25" t="s">
        <v>87</v>
      </c>
      <c r="D25">
        <v>1</v>
      </c>
      <c r="J25" t="s">
        <v>30</v>
      </c>
      <c r="K25" s="9">
        <v>46122</v>
      </c>
      <c r="L25" t="s">
        <v>88</v>
      </c>
      <c r="N25" s="5">
        <v>1</v>
      </c>
    </row>
    <row r="26" spans="1:14" x14ac:dyDescent="0.2">
      <c r="A26">
        <v>10</v>
      </c>
      <c r="B26" t="s">
        <v>12</v>
      </c>
      <c r="C26" t="s">
        <v>89</v>
      </c>
      <c r="D26">
        <v>1</v>
      </c>
      <c r="J26" t="s">
        <v>35</v>
      </c>
      <c r="K26" s="9">
        <v>46112</v>
      </c>
      <c r="L26" t="s">
        <v>53</v>
      </c>
      <c r="N26" s="5">
        <v>1</v>
      </c>
    </row>
    <row r="27" spans="1:14" x14ac:dyDescent="0.2">
      <c r="A27">
        <v>10</v>
      </c>
      <c r="B27" t="s">
        <v>12</v>
      </c>
      <c r="C27" t="s">
        <v>90</v>
      </c>
      <c r="D27">
        <v>1</v>
      </c>
      <c r="J27" t="s">
        <v>35</v>
      </c>
      <c r="K27" s="9">
        <v>46109</v>
      </c>
      <c r="L27" t="s">
        <v>55</v>
      </c>
      <c r="N27" s="5">
        <v>1</v>
      </c>
    </row>
    <row r="28" spans="1:14" x14ac:dyDescent="0.2">
      <c r="A28">
        <v>11</v>
      </c>
      <c r="B28" t="s">
        <v>8</v>
      </c>
      <c r="C28" t="s">
        <v>91</v>
      </c>
      <c r="D28">
        <v>1</v>
      </c>
      <c r="J28" t="s">
        <v>35</v>
      </c>
      <c r="K28" s="9">
        <v>46091</v>
      </c>
      <c r="L28" t="s">
        <v>59</v>
      </c>
      <c r="N28" s="5">
        <v>1</v>
      </c>
    </row>
    <row r="29" spans="1:14" x14ac:dyDescent="0.2">
      <c r="A29">
        <v>11</v>
      </c>
      <c r="B29" t="s">
        <v>8</v>
      </c>
      <c r="C29" t="s">
        <v>92</v>
      </c>
      <c r="D29">
        <v>1</v>
      </c>
      <c r="J29" t="s">
        <v>39</v>
      </c>
      <c r="K29" s="9">
        <v>46077</v>
      </c>
      <c r="L29" t="s">
        <v>53</v>
      </c>
      <c r="N29" s="5">
        <v>1</v>
      </c>
    </row>
    <row r="30" spans="1:14" x14ac:dyDescent="0.2">
      <c r="A30">
        <v>12</v>
      </c>
      <c r="B30" t="s">
        <v>5</v>
      </c>
      <c r="C30" t="s">
        <v>93</v>
      </c>
      <c r="D30">
        <v>1</v>
      </c>
      <c r="J30" t="s">
        <v>39</v>
      </c>
      <c r="K30" s="9">
        <v>46074</v>
      </c>
      <c r="L30" t="s">
        <v>62</v>
      </c>
      <c r="N30" s="5">
        <v>1</v>
      </c>
    </row>
    <row r="31" spans="1:14" x14ac:dyDescent="0.2">
      <c r="J31" t="s">
        <v>39</v>
      </c>
      <c r="K31" s="9">
        <v>46068</v>
      </c>
      <c r="L31" t="s">
        <v>55</v>
      </c>
      <c r="N31" s="5">
        <v>1</v>
      </c>
    </row>
    <row r="32" spans="1:14" x14ac:dyDescent="0.2">
      <c r="J32" t="s">
        <v>39</v>
      </c>
      <c r="K32" s="9">
        <v>46062</v>
      </c>
      <c r="L32" t="s">
        <v>57</v>
      </c>
      <c r="N32" s="5">
        <v>1</v>
      </c>
    </row>
    <row r="33" spans="10:14" x14ac:dyDescent="0.2">
      <c r="J33" t="s">
        <v>39</v>
      </c>
      <c r="K33" s="9">
        <v>46060</v>
      </c>
      <c r="L33" t="s">
        <v>59</v>
      </c>
      <c r="N33" s="5">
        <v>1</v>
      </c>
    </row>
    <row r="34" spans="10:14" x14ac:dyDescent="0.2">
      <c r="J34" t="s">
        <v>43</v>
      </c>
      <c r="K34" s="9">
        <v>46048</v>
      </c>
      <c r="L34" t="s">
        <v>53</v>
      </c>
      <c r="N34" s="5">
        <v>1</v>
      </c>
    </row>
    <row r="35" spans="10:14" x14ac:dyDescent="0.2">
      <c r="J35" t="s">
        <v>43</v>
      </c>
      <c r="K35" s="9">
        <v>46027</v>
      </c>
      <c r="L35" t="s">
        <v>55</v>
      </c>
      <c r="N35" s="5">
        <v>1</v>
      </c>
    </row>
    <row r="36" spans="10:14" x14ac:dyDescent="0.2">
      <c r="K36" s="9"/>
      <c r="N36" s="5"/>
    </row>
    <row r="37" spans="10:14" x14ac:dyDescent="0.2">
      <c r="K37" s="9"/>
      <c r="N37" s="5"/>
    </row>
    <row r="38" spans="10:14" x14ac:dyDescent="0.2">
      <c r="K38" s="9"/>
      <c r="N38" s="5"/>
    </row>
    <row r="39" spans="10:14" x14ac:dyDescent="0.2">
      <c r="K39" s="9"/>
      <c r="N39" s="5"/>
    </row>
    <row r="40" spans="10:14" x14ac:dyDescent="0.2">
      <c r="K40" s="9"/>
      <c r="N40" s="5"/>
    </row>
    <row r="41" spans="10:14" x14ac:dyDescent="0.2">
      <c r="K41" s="9"/>
      <c r="N41" s="5"/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2DFD330500C9D4C80E12BEFCF165AD3" ma:contentTypeVersion="8" ma:contentTypeDescription="Opprett et nytt dokument." ma:contentTypeScope="" ma:versionID="393035f51cba4c419aa8a34d1a6c616e">
  <xsd:schema xmlns:xsd="http://www.w3.org/2001/XMLSchema" xmlns:xs="http://www.w3.org/2001/XMLSchema" xmlns:p="http://schemas.microsoft.com/office/2006/metadata/properties" xmlns:ns2="ba88375d-8b29-4298-897f-8fd300d2f4ef" targetNamespace="http://schemas.microsoft.com/office/2006/metadata/properties" ma:root="true" ma:fieldsID="04bc00d8e9204182f4d597b94839611d" ns2:_="">
    <xsd:import namespace="ba88375d-8b29-4298-897f-8fd300d2f4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88375d-8b29-4298-897f-8fd300d2f4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3E4754-7A49-4480-A992-A2E42BA6822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1C20245-DDC0-4D79-9C7A-D3560D80B7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B9B597-C5DB-42F8-8050-887D65052B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88375d-8b29-4298-897f-8fd300d2f4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Ark1</vt:lpstr>
      <vt:lpstr>Årshjul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Henrik Fundingsland</dc:creator>
  <cp:keywords/>
  <dc:description/>
  <cp:lastModifiedBy>Niclas Lindgren</cp:lastModifiedBy>
  <cp:revision/>
  <dcterms:created xsi:type="dcterms:W3CDTF">2026-03-04T17:41:48Z</dcterms:created>
  <dcterms:modified xsi:type="dcterms:W3CDTF">2026-07-29T16:30:02Z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0x010100F2DFD330500C9D4C80E12BEFCF165AD3</vt:lpwstr>
  </property>
</Properties>
</file>